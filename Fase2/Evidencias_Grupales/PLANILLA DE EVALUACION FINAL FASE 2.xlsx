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9/"/>
    </mc:Choice>
  </mc:AlternateContent>
  <xr:revisionPtr revIDLastSave="0" documentId="13_ncr:1_{010C4652-4303-AC42-8FA7-4C2CFC0E79C5}" xr6:coauthVersionLast="47" xr6:coauthVersionMax="47" xr10:uidLastSave="{00000000-0000-0000-0000-000000000000}"/>
  <bookViews>
    <workbookView xWindow="2860" yWindow="1140" windowWidth="27700" windowHeight="1948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<sst xmlns="http://schemas.openxmlformats.org/spreadsheetml/2006/main" count="150" uniqueCount="91">
  <si>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</si>
  <si>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</si>
  <si>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</si>
  <si>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</si>
  <si>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</si>
  <si>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</si>
  <si>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</si>
  <si>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</si>
  <si>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</si>
  <si>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</si>
  <si>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</si>
  <si>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</si>
  <si>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</si>
  <si>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</si>
  <si>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</si>
  <si>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</si>
  <si>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</si>
  <si>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</si>
  <si>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</si>
  <si>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</si>
  <si>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</si>
  <si>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</si>
  <si>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</si>
  <si>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</si>
  <si>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</si>
  <si>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</si>
  <si>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</si>
  <si>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</si>
  <si>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</si>
  <si>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</si>
  <si>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</si>
  <si>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</si>
  <si>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</si>
  <si>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</si>
  <si>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</si>
  <si>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</si>
  <si>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</si>
  <si>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</si>
  <si>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</si>
  <si>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</si>
  <si>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</si>
  <si>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</si>
  <si>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</si>
  <si>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</si>
  <si>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</si>
  <si>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</si>
  <si>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</si>
  <si>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</si>
  <si>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</si>
  <si>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</si>
  <si>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</si>
  <si>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</si>
  <si>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</si>
  <si>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</si>
  <si>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</si>
  <si>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</si>
  <si>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</si>
  <si>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</si>
  <si>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</si>
  <si>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</si>
  <si>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</si>
  <si>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</si>
  <si>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</si>
  <si>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</si>
  <si>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</si>
  <si>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</si>
  <si>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</si>
  <si>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</si>
  <si>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</si>
  <si>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</si>
  <si>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</si>
  <si>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</si>
  <si>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</si>
  <si>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</si>
  <si>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</si>
  <si>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</si>
  <si>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Diego Castañeda</t>
  </si>
  <si>
    <t>Scarlett Socias</t>
  </si>
  <si>
    <t>Millaray Llanquin</t>
  </si>
  <si>
    <t>PPT:</t>
  </si>
  <si>
    <t>Problemas con el modelo</t>
  </si>
  <si>
    <t>Precisión dependiente de los datos</t>
  </si>
  <si>
    <t xml:space="preserve">Sprints de 4 semanas y </t>
  </si>
  <si>
    <t>Qué son los nros en los release plan?</t>
  </si>
  <si>
    <t>Revisar la arquitectura</t>
  </si>
  <si>
    <t>Notación del modelo</t>
  </si>
  <si>
    <t>APP</t>
  </si>
  <si>
    <t>Qué hace Redis?</t>
  </si>
  <si>
    <t>Falta documento 2.6</t>
  </si>
  <si>
    <t>Cuesta ver el trabajo del modelo</t>
  </si>
  <si>
    <t>Faltan traducir los textos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</si>
</sst>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667845</xdr:colOff>
      <xdr:row>61</xdr:row>
      <xdr:rowOff>134954</xdr:rowOff>
    </xdr:from>
    <xdr:to>
      <xdr:col>11</xdr:col>
      <xdr:colOff>120870</xdr:colOff>
      <xdr:row>82</xdr:row>
      <xdr:rowOff>88461</xdr:rowOff>
    </xdr:to>
    <xdr:pic>
      <xdr:nvPicPr>
        <xdr:cNvPr id="2" name="Imagen 1">
          <a:extLst>
            <a:ext uri="{FF2B5EF4-FFF2-40B4-BE49-F238E27FC236}">
              <a16:creationId xmlns:a16="http://schemas.microsoft.com/office/drawing/2014/main" id="{E9084EFE-7BCE-1941-26AC-17AAFC5FD178}"/>
            </a:ext>
          </a:extLst>
        </xdr:cNvPr>
        <xdr:cNvPicPr>
          <a:picLocks noChangeAspect="1"/>
        </xdr:cNvPicPr>
      </xdr:nvPicPr>
      <xdr:blipFill>
        <a:blip xmlns:r="http://schemas.openxmlformats.org/officeDocument/2006/relationships" r:embed="rId1"/>
        <a:stretch>
          <a:fillRect/>
        </a:stretch>
      </xdr:blipFill>
      <xdr:spPr>
        <a:xfrm>
          <a:off x="8244052" y="13119609"/>
          <a:ext cx="5912508" cy="3862042"/>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16" zoomScaleNormal="120" workbookViewId="0">
      <selection activeCell="C53" sqref="C5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5.2</v>
      </c>
      <c r="D4" s="5">
        <f>$C$32</f>
        <v>5.8</v>
      </c>
      <c r="E4" s="6">
        <f>C4*C$2+D4*D$2</f>
        <v>5.3500000000000005</v>
      </c>
      <c r="G4" s="1"/>
    </row>
    <row r="5" spans="1:11" ht="16" x14ac:dyDescent="0.2">
      <c r="A5" s="4">
        <v>2</v>
      </c>
      <c r="B5" s="50" t="s">
        <v>77</v>
      </c>
      <c r="C5" s="5">
        <f>EVALUACION1!$C$21</f>
        <v>5.2</v>
      </c>
      <c r="D5" s="5">
        <f>C44</f>
        <v>5.8</v>
      </c>
      <c r="E5" s="6">
        <f t="shared" ref="E5:E6" si="0">C5*C$2+D5*D$2</f>
        <v>5.3500000000000005</v>
      </c>
      <c r="G5" s="1"/>
    </row>
    <row r="6" spans="1:11" ht="16" x14ac:dyDescent="0.2">
      <c r="A6" s="4">
        <v>3</v>
      </c>
      <c r="B6" s="50" t="s">
        <v>78</v>
      </c>
      <c r="C6" s="5">
        <f>EVALUACION1!$C$21</f>
        <v>5.2</v>
      </c>
      <c r="D6" s="5">
        <f>C55</f>
        <v>5.8</v>
      </c>
      <c r="E6" s="6">
        <f t="shared" si="0"/>
        <v>5.3500000000000005</v>
      </c>
      <c r="G6" s="1"/>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28</v>
      </c>
      <c r="D19" s="17" t="str">
        <f>IF($C19=CL,"X","")</f>
        <v/>
      </c>
      <c r="E19" s="17" t="str">
        <f>IF(D19="X",100*0.15,"")</f>
        <v/>
      </c>
      <c r="F19" s="17" t="str">
        <f>IF($C19=L,"X","")</f>
        <v/>
      </c>
      <c r="G19" s="17" t="str">
        <f>IF(F19="X",60*0.15,"")</f>
        <v/>
      </c>
      <c r="H19" s="17" t="str">
        <f>IF($C19=ML,"X","")</f>
        <v>X</v>
      </c>
      <c r="I19" s="17">
        <f>IF(H19="X",30*0.15,"")</f>
        <v>4.5</v>
      </c>
      <c r="J19" s="17" t="str">
        <f>IF($C19=NL,"X","")</f>
        <v/>
      </c>
      <c r="K19" s="17" t="str">
        <f t="shared" si="6"/>
        <v/>
      </c>
    </row>
    <row r="20" spans="1:11" ht="15.75" customHeight="1" outlineLevel="1" x14ac:dyDescent="0.25">
      <c r="A20" s="68"/>
      <c r="B20" s="29" t="s">
        <v>4</v>
      </c>
      <c r="C20" s="33">
        <f>E20+G20+I20+K20</f>
        <v>56.5</v>
      </c>
      <c r="D20" s="20"/>
      <c r="E20" s="20">
        <f>SUM(E13:E19)</f>
        <v>40</v>
      </c>
      <c r="F20" s="20"/>
      <c r="G20" s="20">
        <f>SUM(G13:G19)</f>
        <v>12</v>
      </c>
      <c r="H20" s="20"/>
      <c r="I20" s="20">
        <f>SUM(I13:I19)</f>
        <v>4.5</v>
      </c>
      <c r="J20" s="20"/>
      <c r="K20" s="20">
        <f>SUM(K13:K19)</f>
        <v>0</v>
      </c>
    </row>
    <row r="21" spans="1:11" ht="15.75" customHeight="1" outlineLevel="1" x14ac:dyDescent="0.25">
      <c r="A21" s="55"/>
      <c r="B21" s="32" t="s">
        <v>13</v>
      </c>
      <c r="C21" s="21">
        <f>VLOOKUP(C20,ESCALA_IEP!A1:B152,2,FALSE)</f>
        <v>5.2</v>
      </c>
    </row>
    <row r="22" spans="1:11" ht="15.75" customHeight="1" x14ac:dyDescent="0.2"/>
    <row r="23" spans="1:11" ht="15.75" customHeight="1" x14ac:dyDescent="0.2"/>
    <row r="24" spans="1:11" ht="15.75" customHeight="1" x14ac:dyDescent="0.2">
      <c r="A24" s="67" t="s">
        <v>15</v>
      </c>
      <c r="B24" s="54" t="s">
        <v>16</v>
      </c>
      <c r="C24" s="56" t="str">
        <f>$B$4</f>
        <v>Diego Castañeda</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25">
      <c r="A31" s="68"/>
      <c r="B31" s="22" t="s">
        <v>14</v>
      </c>
      <c r="C31" s="19">
        <f>E31+G31+I31+K31</f>
        <v>21</v>
      </c>
      <c r="D31" s="20"/>
      <c r="E31" s="20">
        <f>SUM(E28:E30)</f>
        <v>15</v>
      </c>
      <c r="F31" s="20"/>
      <c r="G31" s="20">
        <f>SUM(G28:G30)</f>
        <v>6</v>
      </c>
      <c r="H31" s="20"/>
      <c r="I31" s="20">
        <f>SUM(I28:I30)</f>
        <v>0</v>
      </c>
      <c r="J31" s="20"/>
      <c r="K31" s="20">
        <f>SUM(K29:K30)</f>
        <v>0</v>
      </c>
    </row>
    <row r="32" spans="1:11" ht="15.75" customHeight="1" x14ac:dyDescent="0.25">
      <c r="A32" s="55"/>
      <c r="B32" s="18" t="s">
        <v>13</v>
      </c>
      <c r="C32" s="21">
        <f>VLOOKUP(C31,ESCALA_TRAB_EQUIP!A1:B52,2,FALSE)</f>
        <v>5.8</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Scarlett Socias</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8"/>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25">
      <c r="A43" s="68"/>
      <c r="B43" s="22" t="s">
        <v>14</v>
      </c>
      <c r="C43" s="19">
        <f>E43+G43+I43+K43</f>
        <v>21</v>
      </c>
      <c r="D43" s="20"/>
      <c r="E43" s="20">
        <f>SUM(E40:E42)</f>
        <v>15</v>
      </c>
      <c r="F43" s="20"/>
      <c r="G43" s="20">
        <f>SUM(G40:G42)</f>
        <v>6</v>
      </c>
      <c r="H43" s="20"/>
      <c r="I43" s="20">
        <f>SUM(I40:I42)</f>
        <v>0</v>
      </c>
      <c r="J43" s="20"/>
      <c r="K43" s="20">
        <f>SUM(K41:K42)</f>
        <v>0</v>
      </c>
    </row>
    <row r="44" spans="1:11" ht="15.75" customHeight="1" x14ac:dyDescent="0.25">
      <c r="A44" s="55"/>
      <c r="B44" s="18" t="s">
        <v>13</v>
      </c>
      <c r="C44" s="21">
        <f>VLOOKUP(C43,ESCALA_TRAB_EQUIP!A1:B52,2,FALSE)</f>
        <v>5.8</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Millaray Llanquin</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8"/>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25">
      <c r="A54" s="68"/>
      <c r="B54" s="22" t="s">
        <v>14</v>
      </c>
      <c r="C54" s="19">
        <f>E54+G54+I54+K54</f>
        <v>21</v>
      </c>
      <c r="D54" s="20"/>
      <c r="E54" s="20">
        <f>SUM(E51:E53)</f>
        <v>15</v>
      </c>
      <c r="F54" s="20"/>
      <c r="G54" s="20">
        <f>SUM(G51:G53)</f>
        <v>6</v>
      </c>
      <c r="H54" s="20"/>
      <c r="I54" s="20">
        <f>SUM(I51:I53)</f>
        <v>0</v>
      </c>
      <c r="J54" s="20"/>
      <c r="K54" s="20">
        <f>SUM(K52:K53)</f>
        <v>0</v>
      </c>
    </row>
    <row r="55" spans="1:11" ht="15.75" customHeight="1" x14ac:dyDescent="0.25">
      <c r="A55" s="55"/>
      <c r="B55" s="18" t="s">
        <v>13</v>
      </c>
      <c r="C55" s="21">
        <f>VLOOKUP(C54,ESCALA_TRAB_EQUIP!A1:B52,2,FALSE)</f>
        <v>5.8</v>
      </c>
    </row>
    <row r="56" spans="1:11" ht="15.75" customHeight="1" x14ac:dyDescent="0.25">
      <c r="B56" s="23"/>
      <c r="C56" s="24"/>
    </row>
    <row r="57" spans="1:11" ht="15.75" customHeight="1" x14ac:dyDescent="0.2"/>
    <row r="58" spans="1:11" ht="15.75" customHeight="1" x14ac:dyDescent="0.2">
      <c r="B58" s="51" t="s">
        <v>79</v>
      </c>
    </row>
    <row r="59" spans="1:11" ht="15.75" customHeight="1" x14ac:dyDescent="0.2">
      <c r="B59" s="51" t="s">
        <v>81</v>
      </c>
    </row>
    <row r="60" spans="1:11" ht="15.75" customHeight="1" x14ac:dyDescent="0.2">
      <c r="B60" s="51" t="s">
        <v>82</v>
      </c>
    </row>
    <row r="61" spans="1:11" ht="15.75" customHeight="1" x14ac:dyDescent="0.2">
      <c r="B61" s="51" t="s">
        <v>83</v>
      </c>
    </row>
    <row r="62" spans="1:11" ht="15.75" customHeight="1" x14ac:dyDescent="0.2">
      <c r="B62" s="51" t="s">
        <v>84</v>
      </c>
    </row>
    <row r="63" spans="1:11" ht="15.75" customHeight="1" x14ac:dyDescent="0.2">
      <c r="B63" s="51" t="s">
        <v>85</v>
      </c>
    </row>
    <row r="64" spans="1:11" ht="15.75" customHeight="1" x14ac:dyDescent="0.2">
      <c r="B64" s="51" t="s">
        <v>87</v>
      </c>
    </row>
    <row r="65" spans="2:2" ht="15.75" customHeight="1" x14ac:dyDescent="0.2"/>
    <row r="66" spans="2:2" ht="15.75" customHeight="1" x14ac:dyDescent="0.2"/>
    <row r="67" spans="2:2" ht="15.75" customHeight="1" x14ac:dyDescent="0.2"/>
    <row r="68" spans="2:2" ht="15.75" customHeight="1" x14ac:dyDescent="0.2">
      <c r="B68" s="51" t="s">
        <v>86</v>
      </c>
    </row>
    <row r="69" spans="2:2" ht="15.75" customHeight="1" x14ac:dyDescent="0.2">
      <c r="B69" s="51" t="s">
        <v>80</v>
      </c>
    </row>
    <row r="70" spans="2:2" ht="15.75" customHeight="1" x14ac:dyDescent="0.2">
      <c r="B70" s="51" t="s">
        <v>89</v>
      </c>
    </row>
    <row r="71" spans="2:2" ht="15.75" customHeight="1" x14ac:dyDescent="0.2">
      <c r="B71" s="51" t="s">
        <v>90</v>
      </c>
    </row>
    <row r="72" spans="2:2" ht="15.75" customHeight="1" x14ac:dyDescent="0.2"/>
    <row r="73" spans="2:2" ht="15.75" customHeight="1" x14ac:dyDescent="0.2"/>
    <row r="74" spans="2:2" ht="15.75" customHeight="1" x14ac:dyDescent="0.2">
      <c r="B74" s="51" t="s">
        <v>88</v>
      </c>
    </row>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2025-11-28T03:22:50Z</dcterms:modified>
</cp:coreProperties>
</file>